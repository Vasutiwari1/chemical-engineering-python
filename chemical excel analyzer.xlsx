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u Tiwari\OneDrive\Desktop\"/>
    </mc:Choice>
  </mc:AlternateContent>
  <xr:revisionPtr revIDLastSave="0" documentId="8_{434F396F-DBBB-42F1-A13C-8B304837F92C}" xr6:coauthVersionLast="47" xr6:coauthVersionMax="47" xr10:uidLastSave="{00000000-0000-0000-0000-000000000000}"/>
  <bookViews>
    <workbookView xWindow="-110" yWindow="-110" windowWidth="19420" windowHeight="10300" activeTab="1" xr2:uid="{CA765EE9-505C-4237-B6C2-5987FBD9D9FA}"/>
  </bookViews>
  <sheets>
    <sheet name="Lookup" sheetId="3" r:id="rId1"/>
    <sheet name="Summaray" sheetId="2" r:id="rId2"/>
    <sheet name="RawData" sheetId="1" r:id="rId3"/>
  </sheets>
  <externalReferences>
    <externalReference r:id="rId4"/>
  </externalReferences>
  <definedNames>
    <definedName name="_xlnm._FilterDatabase" localSheetId="2" hidden="1">RawData!$A$1:$D$8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C4" i="3"/>
  <c r="C5" i="3"/>
  <c r="C6" i="3"/>
  <c r="C7" i="3"/>
  <c r="C8" i="3"/>
  <c r="C9" i="3"/>
  <c r="C10" i="3"/>
  <c r="C11" i="3"/>
  <c r="C12" i="3"/>
  <c r="C3" i="3"/>
  <c r="B4" i="3"/>
  <c r="B5" i="3"/>
  <c r="B6" i="3"/>
  <c r="B7" i="3"/>
  <c r="B8" i="3"/>
  <c r="B9" i="3"/>
  <c r="B10" i="3"/>
  <c r="B11" i="3"/>
  <c r="B12" i="3"/>
  <c r="B10" i="2"/>
  <c r="B9" i="2"/>
  <c r="B8" i="2"/>
  <c r="B7" i="2"/>
  <c r="B6" i="2"/>
  <c r="B5" i="2"/>
  <c r="B3" i="2"/>
</calcChain>
</file>

<file path=xl/sharedStrings.xml><?xml version="1.0" encoding="utf-8"?>
<sst xmlns="http://schemas.openxmlformats.org/spreadsheetml/2006/main" count="69" uniqueCount="37">
  <si>
    <t>A</t>
  </si>
  <si>
    <t>B</t>
  </si>
  <si>
    <t>C</t>
  </si>
  <si>
    <t>Temperature (°C)</t>
  </si>
  <si>
    <t>Batch ID</t>
  </si>
  <si>
    <t>Result</t>
  </si>
  <si>
    <t>B-01</t>
  </si>
  <si>
    <t>Fail</t>
  </si>
  <si>
    <t>B-02</t>
  </si>
  <si>
    <t>Pass</t>
  </si>
  <si>
    <t>B-03</t>
  </si>
  <si>
    <t>B-04</t>
  </si>
  <si>
    <t>B-05</t>
  </si>
  <si>
    <t>B-06</t>
  </si>
  <si>
    <t>D</t>
  </si>
  <si>
    <t>Pressure (bar)</t>
  </si>
  <si>
    <t>Temp (°C)</t>
  </si>
  <si>
    <t>Catalyst</t>
  </si>
  <si>
    <t>Zeolite</t>
  </si>
  <si>
    <t>Platinum</t>
  </si>
  <si>
    <t>E</t>
  </si>
  <si>
    <t>B-07</t>
  </si>
  <si>
    <t>B-08</t>
  </si>
  <si>
    <t>B-09</t>
  </si>
  <si>
    <t>B-10</t>
  </si>
  <si>
    <t>Metric</t>
  </si>
  <si>
    <t>Value</t>
  </si>
  <si>
    <t>Total Batches</t>
  </si>
  <si>
    <t>Total Pass</t>
  </si>
  <si>
    <t>Total Fail</t>
  </si>
  <si>
    <t>Avg Temp (All)</t>
  </si>
  <si>
    <t>Avg Temp (Fail only)</t>
  </si>
  <si>
    <t>Avg Pressure (Pass only)</t>
  </si>
  <si>
    <t>High Risk Batches (Temp &gt; 400)</t>
  </si>
  <si>
    <t>Risk Level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</si>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</sst>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1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FAC0D3-DBEB-4023-BDE2-EBD79A4E9890}" name="Table2" displayName="Table2" ref="A1:C12" totalsRowShown="0" headerRowDxfId="11" dataDxfId="10">
  <autoFilter ref="A1:C12" xr:uid="{D6FAC0D3-DBEB-4023-BDE2-EBD79A4E9890}"/>
  <tableColumns count="3">
    <tableColumn id="1" xr3:uid="{C3EE6260-B520-4792-A198-385A3A119557}" name="A" dataDxfId="9"/>
    <tableColumn id="2" xr3:uid="{340E5FBE-7A66-4085-98AA-2292C6F924A2}" name="B" dataDxfId="8">
      <calculatedColumnFormula>VLOOKUP(RawData!A2,RawData!A2:E11,3,0)</calculatedColumnFormula>
    </tableColumn>
    <tableColumn id="3" xr3:uid="{5DBC9BF8-648B-4387-9145-D225D99900EA}" name="C" dataDxfId="7">
      <calculatedColumnFormula>IF(RawData!C2&gt;400,"HIGH RISK",IF(RawData!C2&gt;300,"MEDIUM RISK","SAFE"))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1CC26C-93A4-4070-83A9-05B4843083E8}" name="Table4" displayName="Table4" ref="A4:B10" totalsRowShown="0">
  <autoFilter ref="A4:B10" xr:uid="{2F1CC26C-93A4-4070-83A9-05B4843083E8}"/>
  <tableColumns count="2">
    <tableColumn id="1" xr3:uid="{20245867-28B7-4807-AD7C-FDE358D1D9CB}" name="Column1" dataDxfId="13"/>
    <tableColumn id="2" xr3:uid="{B6E4694D-B78F-4DA7-9671-73EDCDFD1596}" name="Column2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9F14CE-CF9C-4715-83EE-A299EB749C5C}" name="Table3" displayName="Table3" ref="A1:E12" totalsRowShown="0" headerRowDxfId="6" dataDxfId="5">
  <autoFilter ref="A1:E12" xr:uid="{1A9F14CE-CF9C-4715-83EE-A299EB749C5C}"/>
  <tableColumns count="5">
    <tableColumn id="1" xr3:uid="{9B5FEFE9-F640-4B14-AA54-124BB186976E}" name="A" dataDxfId="4"/>
    <tableColumn id="2" xr3:uid="{6C579DCA-C0B5-4F5B-90DC-CBD09E62B47A}" name="B" dataDxfId="3"/>
    <tableColumn id="3" xr3:uid="{08306D5F-D8D3-438D-B350-6FBA87C42B78}" name="C" dataDxfId="2"/>
    <tableColumn id="4" xr3:uid="{4CEE9468-21AD-4EA2-B226-FCD270C40651}" name="D" dataDxfId="1"/>
    <tableColumn id="5" xr3:uid="{80B320FB-F4C8-44A3-B702-52E84FCE51BC}" name="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F7E8-349C-490A-B26F-5A572C8B44A6}">
  <dimension ref="A1:C12"/>
  <sheetViews>
    <sheetView workbookViewId="0">
      <selection activeCell="F10" sqref="F10"/>
    </sheetView>
  </sheetViews>
  <sheetFormatPr defaultRowHeight="14.5" x14ac:dyDescent="0.35"/>
  <cols>
    <col min="1" max="1" width="7.7265625" bestFit="1" customWidth="1"/>
    <col min="2" max="2" width="9" bestFit="1" customWidth="1"/>
    <col min="3" max="3" width="12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5" t="s">
        <v>4</v>
      </c>
      <c r="B2" s="5" t="s">
        <v>16</v>
      </c>
      <c r="C2" s="5" t="s">
        <v>34</v>
      </c>
    </row>
    <row r="3" spans="1:3" x14ac:dyDescent="0.35">
      <c r="A3" s="2" t="s">
        <v>6</v>
      </c>
      <c r="B3" s="3">
        <f>VLOOKUP(RawData!A3,RawData!A3:E12,3,0)</f>
        <v>420</v>
      </c>
      <c r="C3" s="2" t="str">
        <f>IF(RawData!C3&gt;400,"HIGH RISK",IF(RawData!C3&gt;300,"MEDIUM RISK","SAFE"))</f>
        <v>HIGH RISK</v>
      </c>
    </row>
    <row r="4" spans="1:3" x14ac:dyDescent="0.35">
      <c r="A4" s="2" t="s">
        <v>8</v>
      </c>
      <c r="B4" s="3">
        <f>VLOOKUP(RawData!A4,RawData!A4:E13,3,0)</f>
        <v>280</v>
      </c>
      <c r="C4" s="2" t="str">
        <f>IF(RawData!C4&gt;400,"HIGH RISK",IF(RawData!C4&gt;300,"MEDIUM RISK","SAFE"))</f>
        <v>SAFE</v>
      </c>
    </row>
    <row r="5" spans="1:3" x14ac:dyDescent="0.35">
      <c r="A5" s="2" t="s">
        <v>10</v>
      </c>
      <c r="B5" s="3">
        <f>VLOOKUP(RawData!A5,RawData!A5:E14,3,0)</f>
        <v>350</v>
      </c>
      <c r="C5" s="2" t="str">
        <f>IF(RawData!C5&gt;400,"HIGH RISK",IF(RawData!C5&gt;300,"MEDIUM RISK","SAFE"))</f>
        <v>MEDIUM RISK</v>
      </c>
    </row>
    <row r="6" spans="1:3" x14ac:dyDescent="0.35">
      <c r="A6" s="2" t="s">
        <v>11</v>
      </c>
      <c r="B6" s="3">
        <f>VLOOKUP(RawData!A6,RawData!A6:E15,3,0)</f>
        <v>190</v>
      </c>
      <c r="C6" s="2" t="str">
        <f>IF(RawData!C6&gt;400,"HIGH RISK",IF(RawData!C6&gt;300,"MEDIUM RISK","SAFE"))</f>
        <v>SAFE</v>
      </c>
    </row>
    <row r="7" spans="1:3" x14ac:dyDescent="0.35">
      <c r="A7" s="2" t="s">
        <v>12</v>
      </c>
      <c r="B7" s="3">
        <f>VLOOKUP(RawData!A7,RawData!A7:E16,3,0)</f>
        <v>410</v>
      </c>
      <c r="C7" s="2" t="str">
        <f>IF(RawData!C7&gt;400,"HIGH RISK",IF(RawData!C7&gt;300,"MEDIUM RISK","SAFE"))</f>
        <v>HIGH RISK</v>
      </c>
    </row>
    <row r="8" spans="1:3" x14ac:dyDescent="0.35">
      <c r="A8" s="2" t="s">
        <v>13</v>
      </c>
      <c r="B8" s="3">
        <f>VLOOKUP(RawData!A8,RawData!A8:E17,3,0)</f>
        <v>310</v>
      </c>
      <c r="C8" s="2" t="str">
        <f>IF(RawData!C8&gt;400,"HIGH RISK",IF(RawData!C8&gt;300,"MEDIUM RISK","SAFE"))</f>
        <v>MEDIUM RISK</v>
      </c>
    </row>
    <row r="9" spans="1:3" x14ac:dyDescent="0.35">
      <c r="A9" s="2" t="s">
        <v>21</v>
      </c>
      <c r="B9" s="3">
        <f>VLOOKUP(RawData!A9,RawData!A9:E18,3,0)</f>
        <v>260</v>
      </c>
      <c r="C9" s="2" t="str">
        <f>IF(RawData!C9&gt;400,"HIGH RISK",IF(RawData!C9&gt;300,"MEDIUM RISK","SAFE"))</f>
        <v>SAFE</v>
      </c>
    </row>
    <row r="10" spans="1:3" x14ac:dyDescent="0.35">
      <c r="A10" s="2" t="s">
        <v>22</v>
      </c>
      <c r="B10" s="3">
        <f>VLOOKUP(RawData!A10,RawData!A10:E19,3,0)</f>
        <v>390</v>
      </c>
      <c r="C10" s="2" t="str">
        <f>IF(RawData!C10&gt;400,"HIGH RISK",IF(RawData!C10&gt;300,"MEDIUM RISK","SAFE"))</f>
        <v>MEDIUM RISK</v>
      </c>
    </row>
    <row r="11" spans="1:3" x14ac:dyDescent="0.35">
      <c r="A11" s="2" t="s">
        <v>23</v>
      </c>
      <c r="B11" s="3">
        <f>VLOOKUP(RawData!A11,RawData!A11:E20,3,0)</f>
        <v>180</v>
      </c>
      <c r="C11" s="2" t="str">
        <f>IF(RawData!C11&gt;400,"HIGH RISK",IF(RawData!C11&gt;300,"MEDIUM RISK","SAFE"))</f>
        <v>SAFE</v>
      </c>
    </row>
    <row r="12" spans="1:3" x14ac:dyDescent="0.35">
      <c r="A12" s="2" t="s">
        <v>24</v>
      </c>
      <c r="B12" s="3">
        <f>VLOOKUP(RawData!A12,RawData!A12:E21,3,0)</f>
        <v>440</v>
      </c>
      <c r="C12" s="2" t="str">
        <f>IF(RawData!C12&gt;400,"HIGH RISK",IF(RawData!C12&gt;300,"MEDIUM RISK","SAFE"))</f>
        <v>HIGH RISK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6C69-3297-42C8-9CFB-F514F43E09AC}">
  <dimension ref="A1:B10"/>
  <sheetViews>
    <sheetView tabSelected="1" topLeftCell="A4" workbookViewId="0">
      <selection activeCell="D10" sqref="D10"/>
    </sheetView>
  </sheetViews>
  <sheetFormatPr defaultRowHeight="14.5" x14ac:dyDescent="0.35"/>
  <cols>
    <col min="1" max="1" width="12.6328125" style="6" customWidth="1"/>
    <col min="2" max="2" width="10.90625" customWidth="1"/>
    <col min="3" max="3" width="10.269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4" t="s">
        <v>25</v>
      </c>
      <c r="B2" s="2" t="s">
        <v>26</v>
      </c>
    </row>
    <row r="3" spans="1:2" x14ac:dyDescent="0.35">
      <c r="A3" s="4" t="s">
        <v>27</v>
      </c>
      <c r="B3" s="2">
        <f>COUNTA('[1]Raw Data'!A3:A12)</f>
        <v>10</v>
      </c>
    </row>
    <row r="4" spans="1:2" x14ac:dyDescent="0.35">
      <c r="A4" s="4" t="s">
        <v>35</v>
      </c>
      <c r="B4" s="2" t="s">
        <v>36</v>
      </c>
    </row>
    <row r="5" spans="1:2" x14ac:dyDescent="0.35">
      <c r="A5" s="4" t="s">
        <v>28</v>
      </c>
      <c r="B5" s="1">
        <f>COUNTIF(RawData!E3:E12,"Pass")</f>
        <v>5</v>
      </c>
    </row>
    <row r="6" spans="1:2" x14ac:dyDescent="0.35">
      <c r="A6" s="4" t="s">
        <v>29</v>
      </c>
      <c r="B6" s="1">
        <f>COUNTIF(RawData!E3:E12,"Fail")</f>
        <v>5</v>
      </c>
    </row>
    <row r="7" spans="1:2" ht="29" x14ac:dyDescent="0.35">
      <c r="A7" s="4" t="s">
        <v>30</v>
      </c>
      <c r="B7" s="1">
        <f>AVERAGE(RawData!C3:C12)</f>
        <v>323</v>
      </c>
    </row>
    <row r="8" spans="1:2" ht="29" x14ac:dyDescent="0.35">
      <c r="A8" s="4" t="s">
        <v>31</v>
      </c>
      <c r="B8" s="1">
        <f>AVERAGEIF(RawData!E3:E12,"Fail",RawData!C3:C12)</f>
        <v>402</v>
      </c>
    </row>
    <row r="9" spans="1:2" ht="29" x14ac:dyDescent="0.35">
      <c r="A9" s="4" t="s">
        <v>32</v>
      </c>
      <c r="B9" s="1">
        <f>AVERAGEIF(RawData!E3:E12,"Pass",RawData!D3:D12)</f>
        <v>6</v>
      </c>
    </row>
    <row r="10" spans="1:2" ht="43.5" x14ac:dyDescent="0.35">
      <c r="A10" s="4" t="s">
        <v>33</v>
      </c>
      <c r="B10" s="1">
        <f>COUNTIF(RawData!C3:C12,"&gt;400")</f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70AD-955E-41A0-B6C2-1958373163F6}">
  <dimension ref="A1:J13"/>
  <sheetViews>
    <sheetView zoomScaleNormal="100" workbookViewId="0">
      <selection activeCell="C3" sqref="C3"/>
    </sheetView>
  </sheetViews>
  <sheetFormatPr defaultRowHeight="14.5" x14ac:dyDescent="0.35"/>
  <cols>
    <col min="1" max="1" width="16.1796875" customWidth="1"/>
    <col min="2" max="2" width="11" customWidth="1"/>
    <col min="3" max="3" width="18.7265625" customWidth="1"/>
    <col min="4" max="4" width="14.36328125" customWidth="1"/>
    <col min="5" max="5" width="10.36328125" customWidth="1"/>
  </cols>
  <sheetData>
    <row r="1" spans="1:10" ht="14" customHeight="1" x14ac:dyDescent="0.35">
      <c r="A1" s="1" t="s">
        <v>0</v>
      </c>
      <c r="B1" s="1" t="s">
        <v>1</v>
      </c>
      <c r="C1" s="1" t="s">
        <v>2</v>
      </c>
      <c r="D1" s="1" t="s">
        <v>14</v>
      </c>
      <c r="E1" s="1" t="s">
        <v>20</v>
      </c>
      <c r="F1" s="1"/>
    </row>
    <row r="2" spans="1:10" x14ac:dyDescent="0.35">
      <c r="A2" s="4" t="s">
        <v>4</v>
      </c>
      <c r="B2" s="4" t="s">
        <v>17</v>
      </c>
      <c r="C2" s="4" t="s">
        <v>3</v>
      </c>
      <c r="D2" s="4" t="s">
        <v>15</v>
      </c>
      <c r="E2" s="4" t="s">
        <v>5</v>
      </c>
      <c r="F2" s="2"/>
      <c r="G2" s="2"/>
      <c r="I2" s="1"/>
      <c r="J2" s="1"/>
    </row>
    <row r="3" spans="1:10" x14ac:dyDescent="0.35">
      <c r="A3" s="2" t="s">
        <v>6</v>
      </c>
      <c r="B3" s="2" t="s">
        <v>18</v>
      </c>
      <c r="C3" s="3">
        <v>420</v>
      </c>
      <c r="D3" s="3">
        <v>12</v>
      </c>
      <c r="E3" s="2" t="s">
        <v>7</v>
      </c>
      <c r="I3" s="2"/>
      <c r="J3" s="2"/>
    </row>
    <row r="4" spans="1:10" x14ac:dyDescent="0.35">
      <c r="A4" s="2" t="s">
        <v>8</v>
      </c>
      <c r="B4" s="2" t="s">
        <v>19</v>
      </c>
      <c r="C4" s="3">
        <v>280</v>
      </c>
      <c r="D4" s="3">
        <v>7</v>
      </c>
      <c r="E4" s="2" t="s">
        <v>9</v>
      </c>
      <c r="I4" s="2"/>
      <c r="J4" s="2"/>
    </row>
    <row r="5" spans="1:10" x14ac:dyDescent="0.35">
      <c r="A5" s="2" t="s">
        <v>10</v>
      </c>
      <c r="B5" s="2" t="s">
        <v>18</v>
      </c>
      <c r="C5" s="3">
        <v>350</v>
      </c>
      <c r="D5" s="3">
        <v>15</v>
      </c>
      <c r="E5" s="2" t="s">
        <v>7</v>
      </c>
      <c r="I5" s="2"/>
      <c r="J5" s="2"/>
    </row>
    <row r="6" spans="1:10" x14ac:dyDescent="0.35">
      <c r="A6" s="2" t="s">
        <v>11</v>
      </c>
      <c r="B6" s="2" t="s">
        <v>19</v>
      </c>
      <c r="C6" s="3">
        <v>190</v>
      </c>
      <c r="D6" s="3">
        <v>5</v>
      </c>
      <c r="E6" s="2" t="s">
        <v>9</v>
      </c>
      <c r="I6" s="2"/>
      <c r="J6" s="2"/>
    </row>
    <row r="7" spans="1:10" x14ac:dyDescent="0.35">
      <c r="A7" s="2" t="s">
        <v>12</v>
      </c>
      <c r="B7" s="2" t="s">
        <v>18</v>
      </c>
      <c r="C7" s="3">
        <v>410</v>
      </c>
      <c r="D7" s="3">
        <v>11</v>
      </c>
      <c r="E7" s="2" t="s">
        <v>7</v>
      </c>
      <c r="F7" s="1"/>
      <c r="G7" s="2"/>
      <c r="I7" s="2"/>
      <c r="J7" s="2"/>
    </row>
    <row r="8" spans="1:10" x14ac:dyDescent="0.35">
      <c r="A8" s="2" t="s">
        <v>13</v>
      </c>
      <c r="B8" s="2" t="s">
        <v>19</v>
      </c>
      <c r="C8" s="3">
        <v>310</v>
      </c>
      <c r="D8" s="3">
        <v>8</v>
      </c>
      <c r="E8" s="2" t="s">
        <v>9</v>
      </c>
      <c r="F8" s="1"/>
      <c r="G8" s="2"/>
      <c r="I8" s="2"/>
      <c r="J8" s="2"/>
    </row>
    <row r="9" spans="1:10" x14ac:dyDescent="0.35">
      <c r="A9" s="2" t="s">
        <v>21</v>
      </c>
      <c r="B9" s="2" t="s">
        <v>18</v>
      </c>
      <c r="C9" s="3">
        <v>260</v>
      </c>
      <c r="D9" s="3">
        <v>6</v>
      </c>
      <c r="E9" s="2" t="s">
        <v>9</v>
      </c>
      <c r="F9" s="1"/>
      <c r="G9" s="2"/>
    </row>
    <row r="10" spans="1:10" x14ac:dyDescent="0.35">
      <c r="A10" s="2" t="s">
        <v>22</v>
      </c>
      <c r="B10" s="2" t="s">
        <v>19</v>
      </c>
      <c r="C10" s="3">
        <v>390</v>
      </c>
      <c r="D10" s="3">
        <v>13</v>
      </c>
      <c r="E10" s="2" t="s">
        <v>7</v>
      </c>
      <c r="F10" s="1"/>
      <c r="G10" s="2"/>
    </row>
    <row r="11" spans="1:10" x14ac:dyDescent="0.35">
      <c r="A11" s="2" t="s">
        <v>23</v>
      </c>
      <c r="B11" s="2" t="s">
        <v>18</v>
      </c>
      <c r="C11" s="3">
        <v>180</v>
      </c>
      <c r="D11" s="3">
        <v>4</v>
      </c>
      <c r="E11" s="2" t="s">
        <v>9</v>
      </c>
      <c r="F11" s="1"/>
      <c r="G11" s="2"/>
    </row>
    <row r="12" spans="1:10" x14ac:dyDescent="0.35">
      <c r="A12" s="2" t="s">
        <v>24</v>
      </c>
      <c r="B12" s="2" t="s">
        <v>19</v>
      </c>
      <c r="C12" s="3">
        <v>440</v>
      </c>
      <c r="D12" s="3">
        <v>14</v>
      </c>
      <c r="E12" s="2" t="s">
        <v>7</v>
      </c>
      <c r="F12" s="1"/>
      <c r="G12" s="2"/>
    </row>
    <row r="13" spans="1:10" x14ac:dyDescent="0.35">
      <c r="E13" s="2"/>
      <c r="F13" s="1"/>
      <c r="G13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</vt:lpstr>
      <vt:lpstr>Summaray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vasutiwari0302@outlook.com</dc:creator>
  <cp:lastModifiedBy>vasutiwari0302@outlook.com</cp:lastModifiedBy>
  <dcterms:created xsi:type="dcterms:W3CDTF">2026-06-17T14:20:41Z</dcterms:created>
  <dcterms:modified xsi:type="dcterms:W3CDTF">2026-06-24T13:08:04Z</dcterms:modified>
</cp:coreProperties>
</file>